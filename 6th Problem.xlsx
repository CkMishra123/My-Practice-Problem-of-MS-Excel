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b8992440a1273/Desktop/CODING/MS-Excel/Practice/"/>
    </mc:Choice>
  </mc:AlternateContent>
  <xr:revisionPtr revIDLastSave="0" documentId="8_{700BBF23-8CE8-449C-B201-B6BFDDDD5540}" xr6:coauthVersionLast="47" xr6:coauthVersionMax="47" xr10:uidLastSave="{00000000-0000-0000-0000-000000000000}"/>
  <bookViews>
    <workbookView xWindow="-108" yWindow="-108" windowWidth="23256" windowHeight="13176" xr2:uid="{3D44D7C8-3B5C-4B17-92D5-7BFBAAA82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9" i="1" l="1"/>
  <c r="C99" i="1"/>
  <c r="C100" i="1"/>
  <c r="F4" i="1"/>
  <c r="D59" i="1"/>
  <c r="D60" i="1"/>
  <c r="D61" i="1"/>
  <c r="D62" i="1"/>
  <c r="D63" i="1"/>
  <c r="D64" i="1"/>
  <c r="D65" i="1"/>
  <c r="D66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E25" i="1"/>
  <c r="E26" i="1"/>
  <c r="E27" i="1"/>
  <c r="E28" i="1"/>
  <c r="E29" i="1"/>
  <c r="E30" i="1"/>
  <c r="E31" i="1"/>
  <c r="E32" i="1"/>
  <c r="E33" i="1"/>
  <c r="E34" i="1"/>
  <c r="E35" i="1"/>
  <c r="E36" i="1"/>
</calcChain>
</file>

<file path=xl/sharedStrings.xml><?xml version="1.0" encoding="utf-8"?>
<sst xmlns="http://schemas.openxmlformats.org/spreadsheetml/2006/main" count="140" uniqueCount="88">
  <si>
    <t>DEPARTMENT</t>
  </si>
  <si>
    <t>SALARY</t>
  </si>
  <si>
    <t>EXPERIENCE</t>
  </si>
  <si>
    <t>BONUS</t>
  </si>
  <si>
    <t>EMP_ID</t>
  </si>
  <si>
    <t>DT101</t>
  </si>
  <si>
    <t>DT102</t>
  </si>
  <si>
    <t>DT103</t>
  </si>
  <si>
    <t>AD201</t>
  </si>
  <si>
    <t>AD202</t>
  </si>
  <si>
    <t>AD203</t>
  </si>
  <si>
    <t>MA301</t>
  </si>
  <si>
    <t>MA302</t>
  </si>
  <si>
    <t>MA303</t>
  </si>
  <si>
    <t>JE401</t>
  </si>
  <si>
    <t>JE402</t>
  </si>
  <si>
    <t>JE403</t>
  </si>
  <si>
    <t>Experience&gt;=5</t>
  </si>
  <si>
    <t>Bonus=10% of Salary</t>
  </si>
  <si>
    <t xml:space="preserve">Salary &gt;=50,000 </t>
  </si>
  <si>
    <t>Salary&gt;=30,000</t>
  </si>
  <si>
    <t>Experience&gt;=3</t>
  </si>
  <si>
    <t>Bonus=5%</t>
  </si>
  <si>
    <t>Otherwise= No Bonus</t>
  </si>
  <si>
    <t>Conditions</t>
  </si>
  <si>
    <t>DA502</t>
  </si>
  <si>
    <t>DA501</t>
  </si>
  <si>
    <t>DA307</t>
  </si>
  <si>
    <t>MLE01</t>
  </si>
  <si>
    <t>MLE02</t>
  </si>
  <si>
    <t>MLE03</t>
  </si>
  <si>
    <t>DATA SCIENCE</t>
  </si>
  <si>
    <t>ADMINISTRATION</t>
  </si>
  <si>
    <t>MANAGEMENT</t>
  </si>
  <si>
    <t>JUNIOR ENGINEER</t>
  </si>
  <si>
    <t>DATA ANALYST</t>
  </si>
  <si>
    <t>MACHINE LEARNING ENGINEER</t>
  </si>
  <si>
    <t>Column1</t>
  </si>
  <si>
    <t>Column2</t>
  </si>
  <si>
    <t>Column3</t>
  </si>
  <si>
    <t>Column4</t>
  </si>
  <si>
    <t>Column5</t>
  </si>
  <si>
    <r>
      <rPr>
        <b/>
        <sz val="12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 Student Result System (Nested IF + AND)
Marks in A2, Attendance in B2:
If marks ≥ 75 AND attendance ≥ 80 → "Distinction"
If marks ≥ 50 AND attendance ≥ 60 → "Pass"
If marks ≥ 50 but attendance &lt; 60 → "Low Attendance"
Otherwise → "Fail"
👉 Write formula</t>
    </r>
  </si>
  <si>
    <r>
      <rPr>
        <b/>
        <sz val="12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.Salary Bonus Calculation
A company gives bonus based on salary (A2) and experience (B2):
If salary ≥ 50,000 AND experience ≥ 5 → Bonus = 10% of salary
If salary ≥ 30,000 AND experience ≥ 3 → Bonus = 5%
Otherwise → No bonus
👉 Write a formula to calculate bonus amount</t>
    </r>
  </si>
  <si>
    <t>STUDENT NAME</t>
  </si>
  <si>
    <t>MARKS</t>
  </si>
  <si>
    <t>ATTENDENCE</t>
  </si>
  <si>
    <t>RESULT</t>
  </si>
  <si>
    <t>JENNY</t>
  </si>
  <si>
    <t>ROWLA</t>
  </si>
  <si>
    <t>MENJA</t>
  </si>
  <si>
    <t>KOUW</t>
  </si>
  <si>
    <t>JOUE</t>
  </si>
  <si>
    <t>LOIW</t>
  </si>
  <si>
    <t>PWOU</t>
  </si>
  <si>
    <t>MUAO</t>
  </si>
  <si>
    <t>NAOOE</t>
  </si>
  <si>
    <t>LPQOE</t>
  </si>
  <si>
    <t>ALSK</t>
  </si>
  <si>
    <t>NOOA</t>
  </si>
  <si>
    <t>71</t>
  </si>
  <si>
    <t>82</t>
  </si>
  <si>
    <r>
      <rPr>
        <b/>
        <sz val="11"/>
        <color rgb="FFFF0000"/>
        <rFont val="Calibri"/>
        <family val="2"/>
        <scheme val="minor"/>
      </rPr>
      <t xml:space="preserve">3. </t>
    </r>
    <r>
      <rPr>
        <sz val="11"/>
        <color theme="1"/>
        <rFont val="Calibri"/>
        <family val="2"/>
        <scheme val="minor"/>
      </rPr>
      <t>Electricity Bill Calculation
Units in A2:
First 100 units → ₹5/unit
Next 100 units → ₹7/unit
Above 200 → ₹10/unit
👉 Calculate total bill (use nested IF)</t>
    </r>
  </si>
  <si>
    <t>UNITS</t>
  </si>
  <si>
    <t>TOTAL BILL</t>
  </si>
  <si>
    <r>
      <rPr>
        <b/>
        <sz val="14"/>
        <color rgb="FFFF0000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>Sales Commission (Mixed Conditions)
Sales in A2:
≥ 1,00,000 → 12%
≥ 50,000 → 8%
≥ 20,000 → 5%
Otherwise → 2%
👉 Find commission amount</t>
    </r>
  </si>
  <si>
    <t>PRODUCT NAME</t>
  </si>
  <si>
    <t>SALES</t>
  </si>
  <si>
    <t>CEILING FAN</t>
  </si>
  <si>
    <t>TABLE FAN</t>
  </si>
  <si>
    <t>IRON</t>
  </si>
  <si>
    <t>WATER MOTOR</t>
  </si>
  <si>
    <t>MIXTURE</t>
  </si>
  <si>
    <t>T.V.</t>
  </si>
  <si>
    <t>COOLER</t>
  </si>
  <si>
    <t>AIR CONDITIONER</t>
  </si>
  <si>
    <t>SALES COMMISION</t>
  </si>
  <si>
    <t>Explanation:</t>
  </si>
  <si>
    <r>
      <rPr>
        <b/>
        <sz val="16"/>
        <color rgb="FFFF0000"/>
        <rFont val="Calibri"/>
        <family val="2"/>
        <scheme val="minor"/>
      </rPr>
      <t>Explanation</t>
    </r>
    <r>
      <rPr>
        <sz val="11"/>
        <color theme="1"/>
        <rFont val="Calibri"/>
        <family val="2"/>
        <scheme val="minor"/>
      </rPr>
      <t>:I used a nested IF formula along with AND conditions to evaluate both marks and attendance. I carefully arranged the conditions to return results like Distinction, Pass, Low Attendance, or Fail based on multiple criteria.</t>
    </r>
  </si>
  <si>
    <r>
      <rPr>
        <b/>
        <sz val="16"/>
        <color rgb="FFFF0000"/>
        <rFont val="Calibri"/>
        <family val="2"/>
        <scheme val="minor"/>
      </rPr>
      <t>Explanation:</t>
    </r>
    <r>
      <rPr>
        <sz val="11"/>
        <color theme="1" tint="4.9989318521683403E-2"/>
        <rFont val="Calibri"/>
        <family val="2"/>
        <scheme val="minor"/>
      </rPr>
      <t>I applied a nested IF formula to handle different value ranges. I understood how to check conditions step-by-step and calculate results according to each range instead of applying a single formula.</t>
    </r>
  </si>
  <si>
    <r>
      <rPr>
        <b/>
        <sz val="16"/>
        <color rgb="FFFF0000"/>
        <rFont val="Calibri"/>
        <family val="2"/>
        <scheme val="minor"/>
      </rPr>
      <t>Explanation:</t>
    </r>
    <r>
      <rPr>
        <sz val="11"/>
        <color theme="1" tint="4.9989318521683403E-2"/>
        <rFont val="Calibri"/>
        <family val="2"/>
        <scheme val="minor"/>
      </rPr>
      <t>I used the IFS function to simplify multiple conditions. I arranged the conditions from highest to lowest and applied the correct percentage for each range, making the formula more readable and efficient.</t>
    </r>
  </si>
  <si>
    <r>
      <t xml:space="preserve">Expalanation: </t>
    </r>
    <r>
      <rPr>
        <sz val="11"/>
        <color theme="1"/>
        <rFont val="Calibri"/>
        <family val="2"/>
        <scheme val="minor"/>
      </rPr>
      <t>I have solve this using the following formula "==IF(AND(D4&gt;=50000,E4&gt;=5),D4*10%,IF(AND(D4&gt;=30000,E4&gt;=3),D4*5%,0))" this formula is is basically Nested If formula for satisfying multiple conditions.</t>
    </r>
  </si>
  <si>
    <r>
      <rPr>
        <b/>
        <sz val="14"/>
        <color rgb="FFFF0000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Attendance Tracker (COUNTIF + Logical)
Range A2:A31 contains "P" or "A":
If Present days ≥ 26 → "Excellent"
≥ 20 → "Good"
Otherwise → "Poor"
👉 Create formula using COUNTIF</t>
    </r>
  </si>
  <si>
    <t>P</t>
  </si>
  <si>
    <t>A</t>
  </si>
  <si>
    <t xml:space="preserve">Total no of P: </t>
  </si>
  <si>
    <t xml:space="preserve">Total no of A: </t>
  </si>
  <si>
    <r>
      <t xml:space="preserve">Explanation: </t>
    </r>
    <r>
      <rPr>
        <sz val="11"/>
        <color theme="1"/>
        <rFont val="Calibri"/>
        <family val="2"/>
        <scheme val="minor"/>
      </rPr>
      <t>In this Problem I have used the formula "=IF(COUNTIF(B69:B98,"P")&gt;=26,"Excellent",IF(COUNTIF(B69:B98,"P")&gt;=20,"Good","Poor"))"  This basically help us to find out the result using conditional Statement IF() and COUNTIF().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</si>
</sst>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2" borderId="0" xfId="0" applyFill="1" applyBorder="1"/>
    <xf numFmtId="0" fontId="0" fillId="2" borderId="5" xfId="0" applyFill="1" applyBorder="1"/>
    <xf numFmtId="0" fontId="0" fillId="2" borderId="7" xfId="0" applyFill="1" applyBorder="1"/>
    <xf numFmtId="0" fontId="0" fillId="0" borderId="0" xfId="0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9" xfId="0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3" fillId="0" borderId="2" xfId="0" applyFont="1" applyBorder="1"/>
    <xf numFmtId="0" fontId="3" fillId="0" borderId="8" xfId="0" applyFont="1" applyBorder="1"/>
    <xf numFmtId="0" fontId="3" fillId="0" borderId="5" xfId="0" applyFont="1" applyBorder="1"/>
    <xf numFmtId="0" fontId="4" fillId="0" borderId="0" xfId="0" applyFont="1"/>
    <xf numFmtId="164" fontId="0" fillId="0" borderId="0" xfId="0" applyNumberFormat="1"/>
    <xf numFmtId="164" fontId="0" fillId="0" borderId="0" xfId="0" applyNumberFormat="1" applyBorder="1"/>
    <xf numFmtId="0" fontId="0" fillId="3" borderId="0" xfId="0" applyFill="1"/>
    <xf numFmtId="164" fontId="0" fillId="3" borderId="0" xfId="0" applyNumberFormat="1" applyFill="1"/>
    <xf numFmtId="0" fontId="3" fillId="3" borderId="0" xfId="0" applyFont="1" applyFill="1"/>
    <xf numFmtId="0" fontId="0" fillId="4" borderId="2" xfId="0" applyFill="1" applyBorder="1" applyAlignment="1">
      <alignment wrapText="1"/>
    </xf>
    <xf numFmtId="0" fontId="0" fillId="0" borderId="0" xfId="0" applyFont="1" applyBorder="1"/>
    <xf numFmtId="0" fontId="0" fillId="2" borderId="8" xfId="0" applyFill="1" applyBorder="1"/>
    <xf numFmtId="164" fontId="0" fillId="2" borderId="0" xfId="0" applyNumberFormat="1" applyFill="1" applyBorder="1"/>
    <xf numFmtId="0" fontId="0" fillId="2" borderId="9" xfId="0" applyFill="1" applyBorder="1"/>
    <xf numFmtId="0" fontId="0" fillId="4" borderId="0" xfId="0" applyFont="1" applyFill="1" applyAlignment="1">
      <alignment wrapText="1"/>
    </xf>
    <xf numFmtId="0" fontId="2" fillId="5" borderId="10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164" fontId="2" fillId="5" borderId="11" xfId="0" applyNumberFormat="1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vertical="center"/>
    </xf>
    <xf numFmtId="0" fontId="0" fillId="0" borderId="3" xfId="0" applyBorder="1" applyAlignment="1">
      <alignment horizontal="center"/>
    </xf>
    <xf numFmtId="49" fontId="0" fillId="0" borderId="3" xfId="1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1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4" borderId="0" xfId="0" applyFill="1" applyAlignment="1">
      <alignment wrapText="1"/>
    </xf>
    <xf numFmtId="0" fontId="2" fillId="5" borderId="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7" fillId="0" borderId="0" xfId="0" applyFont="1"/>
    <xf numFmtId="164" fontId="0" fillId="0" borderId="3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2" fillId="6" borderId="13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164" fontId="0" fillId="0" borderId="3" xfId="0" applyNumberFormat="1" applyBorder="1"/>
    <xf numFmtId="2" fontId="0" fillId="0" borderId="0" xfId="0" applyNumberFormat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2" fillId="0" borderId="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6">
    <dxf>
      <border outline="0">
        <top style="medium">
          <color indexed="64"/>
        </top>
      </border>
    </dxf>
    <dxf>
      <numFmt numFmtId="164" formatCode="&quot;₹&quot;\ #,##0.00"/>
    </dxf>
    <dxf>
      <numFmt numFmtId="164" formatCode="&quot;₹&quot;\ #,##0.00"/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&quot;₹&quot;\ #,##0.00"/>
    </dxf>
    <dxf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&quot;₹&quot;\ #,##0.0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1289F3-2CB0-41B7-ABDA-96DDEA502C0D}" name="Table2" displayName="Table2" ref="B3:F21" totalsRowShown="0" tableBorderDxfId="15">
  <autoFilter ref="B3:F21" xr:uid="{221289F3-2CB0-41B7-ABDA-96DDEA502C0D}"/>
  <tableColumns count="5">
    <tableColumn id="1" xr3:uid="{B630C66F-F7B6-48E8-9D6B-396588B870D8}" name="Column1"/>
    <tableColumn id="2" xr3:uid="{6D45A51D-B189-4D9C-ACA7-869A9BDB0081}" name="Column2"/>
    <tableColumn id="3" xr3:uid="{6FAB4C94-A2B2-42DB-A850-24436603ED5D}" name="Column3" dataDxfId="14"/>
    <tableColumn id="4" xr3:uid="{ADF920A0-E748-4448-B4C7-0776CE6D1F7C}" name="Column4"/>
    <tableColumn id="5" xr3:uid="{6FEEF1EC-72B4-43F5-BD21-7AEFD500DDB5}" name="Column5">
      <calculatedColumnFormula>IF(AND(D4&gt;=50000,E4&gt;=5),D4*10%,IF(AND(D4&gt;=30000,E4&gt;=3),D4*5%,0))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691FF3-039F-4F1C-BD33-0E1B4215FAB4}" name="Table3" displayName="Table3" ref="B24:E36" totalsRowShown="0" headerRowDxfId="7" dataDxfId="8" tableBorderDxfId="13">
  <autoFilter ref="B24:E36" xr:uid="{C7691FF3-039F-4F1C-BD33-0E1B4215FAB4}"/>
  <tableColumns count="4">
    <tableColumn id="1" xr3:uid="{D4B5EBD0-741B-4B49-884F-82D5D25E96FB}" name="Column1" dataDxfId="12"/>
    <tableColumn id="2" xr3:uid="{8C8674E8-E59D-43B8-A93E-E37F1E0BDE95}" name="Column2" dataDxfId="11"/>
    <tableColumn id="3" xr3:uid="{4BEDC81B-DD42-413E-8226-C45AA9BA7166}" name="Column3" dataDxfId="10"/>
    <tableColumn id="4" xr3:uid="{F69CEE73-D85B-41E9-9E54-93CB8837311B}" name="Column4" dataDxfId="9">
      <calculatedColumnFormula>IF(AND(C25&gt;=75,D25&gt;=80),"Distinction",IF(AND(C25&gt;=50,D25&gt;=60),"Pass",IF(AND(C25&gt;=50,D25&lt;60),"Low Attendence","Fail")))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46F4E1-9635-42C8-A5E0-9FB7437E0396}" name="Table4" displayName="Table4" ref="B40:C54" totalsRowShown="0" tableBorderDxfId="6">
  <autoFilter ref="B40:C54" xr:uid="{2A46F4E1-9635-42C8-A5E0-9FB7437E0396}"/>
  <tableColumns count="2">
    <tableColumn id="1" xr3:uid="{98ED0CF1-2C4C-4751-A7EA-3C099C6526FA}" name="Column1" dataDxfId="5"/>
    <tableColumn id="2" xr3:uid="{616AEFC1-5A7B-420B-A895-F9344C09460E}" name="Column2" dataDxfId="4">
      <calculatedColumnFormula>IF(B41&lt;=100,B42
     B41*5,
     IF(B41&lt;=200,
        100*5 + (B41-100)*7,
        100*5 + 100*7 + (B41-200)*10
     )
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3C4119-918A-4C9E-AF36-9288EB9D89B6}" name="Table5" displayName="Table5" ref="B58:D66" totalsRowShown="0" tableBorderDxfId="3">
  <autoFilter ref="B58:D66" xr:uid="{693C4119-918A-4C9E-AF36-9288EB9D89B6}"/>
  <tableColumns count="3">
    <tableColumn id="1" xr3:uid="{E52E44BB-E80C-43C4-B916-807D6306AC32}" name="Column1"/>
    <tableColumn id="2" xr3:uid="{48E32A5B-5316-4425-A380-EBAF3A566DC3}" name="Column2" dataDxfId="2"/>
    <tableColumn id="3" xr3:uid="{922DAF76-F9E0-491A-AAEC-4C0EF2E544B1}" name="Column3" dataDxfId="1">
      <calculatedColumnFormula>_xlfn.IFS(C59&gt;=100000,C59*12%,C59&gt;=50000,C59*8%,C59&gt;=20000,C59*5%,C59&lt;20000,C59*2%)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3DEABF-0A9A-4DD7-AA82-204D98C6F88C}" name="Table6" displayName="Table6" ref="B69:B101" totalsRowShown="0" tableBorderDxfId="0">
  <autoFilter ref="B69:B101" xr:uid="{623DEABF-0A9A-4DD7-AA82-204D98C6F88C}"/>
  <tableColumns count="1">
    <tableColumn id="1" xr3:uid="{5E4D04C5-4B9A-4BFD-98C7-2FF980C56754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C0E8-31C6-40DB-A56B-2CA234A54DD3}">
  <dimension ref="A1:Z102"/>
  <sheetViews>
    <sheetView tabSelected="1" topLeftCell="A64" zoomScale="51" zoomScaleNormal="51" workbookViewId="0">
      <selection activeCell="D91" sqref="D91"/>
    </sheetView>
  </sheetViews>
  <sheetFormatPr defaultRowHeight="15.6" x14ac:dyDescent="0.3"/>
  <cols>
    <col min="1" max="1" width="56.88671875" bestFit="1" customWidth="1"/>
    <col min="2" max="2" width="18.88671875" bestFit="1" customWidth="1"/>
    <col min="3" max="3" width="28.5546875" bestFit="1" customWidth="1"/>
    <col min="4" max="4" width="21.77734375" style="16" bestFit="1" customWidth="1"/>
    <col min="5" max="5" width="13.88671875" bestFit="1" customWidth="1"/>
    <col min="6" max="6" width="10.77734375" bestFit="1" customWidth="1"/>
    <col min="9" max="9" width="2" style="11" bestFit="1" customWidth="1"/>
    <col min="10" max="10" width="69.88671875" customWidth="1"/>
  </cols>
  <sheetData>
    <row r="1" spans="1:11" ht="89.4" customHeight="1" thickBot="1" x14ac:dyDescent="0.35">
      <c r="A1" s="21" t="s">
        <v>43</v>
      </c>
      <c r="B1" s="27" t="s">
        <v>4</v>
      </c>
      <c r="C1" s="28" t="s">
        <v>0</v>
      </c>
      <c r="D1" s="29" t="s">
        <v>1</v>
      </c>
      <c r="E1" s="28" t="s">
        <v>2</v>
      </c>
      <c r="F1" s="30" t="s">
        <v>3</v>
      </c>
      <c r="G1" s="4"/>
      <c r="J1" s="15" t="s">
        <v>24</v>
      </c>
    </row>
    <row r="2" spans="1:11" ht="16.8" hidden="1" thickTop="1" thickBot="1" x14ac:dyDescent="0.35">
      <c r="A2" s="2"/>
      <c r="B2" s="23"/>
      <c r="C2" s="1"/>
      <c r="D2" s="24"/>
      <c r="E2" s="1"/>
      <c r="F2" s="25"/>
      <c r="G2" s="3"/>
    </row>
    <row r="3" spans="1:11" ht="16.2" thickTop="1" x14ac:dyDescent="0.3">
      <c r="B3" s="22" t="s">
        <v>37</v>
      </c>
      <c r="C3" s="7" t="s">
        <v>38</v>
      </c>
      <c r="D3" s="17" t="s">
        <v>39</v>
      </c>
      <c r="E3" s="7" t="s">
        <v>40</v>
      </c>
      <c r="F3" s="7" t="s">
        <v>41</v>
      </c>
      <c r="I3" s="12">
        <v>1</v>
      </c>
      <c r="J3" s="5" t="s">
        <v>19</v>
      </c>
      <c r="K3" s="6"/>
    </row>
    <row r="4" spans="1:11" x14ac:dyDescent="0.3">
      <c r="B4" s="22" t="s">
        <v>5</v>
      </c>
      <c r="C4" s="7" t="s">
        <v>31</v>
      </c>
      <c r="D4" s="17">
        <v>80829</v>
      </c>
      <c r="E4" s="7">
        <v>4</v>
      </c>
      <c r="F4" s="7">
        <f>IF(AND(D4&gt;=50000,E4&gt;=5),D4*10%,IF(AND(D4&gt;=30000,E4&gt;=3),D4*5%,0))</f>
        <v>4041.4500000000003</v>
      </c>
      <c r="I4" s="13"/>
      <c r="J4" s="7" t="s">
        <v>17</v>
      </c>
      <c r="K4" s="8"/>
    </row>
    <row r="5" spans="1:11" x14ac:dyDescent="0.3">
      <c r="B5" s="7" t="s">
        <v>6</v>
      </c>
      <c r="C5" s="7" t="s">
        <v>31</v>
      </c>
      <c r="D5" s="17">
        <v>82719</v>
      </c>
      <c r="E5" s="7">
        <v>5</v>
      </c>
      <c r="F5" s="7">
        <f t="shared" ref="F5:F21" si="0">IF(AND(D5&gt;=50000,E5&gt;=5),D5*10%,IF(AND(D5&gt;=30000,E5&gt;=3),D5*5%,0))</f>
        <v>8271.9</v>
      </c>
      <c r="I5" s="13"/>
      <c r="J5" s="7" t="s">
        <v>18</v>
      </c>
      <c r="K5" s="8"/>
    </row>
    <row r="6" spans="1:11" x14ac:dyDescent="0.3">
      <c r="A6" t="s">
        <v>77</v>
      </c>
      <c r="B6" s="7" t="s">
        <v>7</v>
      </c>
      <c r="C6" s="7" t="s">
        <v>31</v>
      </c>
      <c r="D6" s="17">
        <v>92618</v>
      </c>
      <c r="E6" s="7">
        <v>8</v>
      </c>
      <c r="F6" s="7">
        <f t="shared" si="0"/>
        <v>9261.8000000000011</v>
      </c>
      <c r="I6" s="13">
        <v>2</v>
      </c>
      <c r="J6" s="7" t="s">
        <v>20</v>
      </c>
      <c r="K6" s="8"/>
    </row>
    <row r="7" spans="1:11" x14ac:dyDescent="0.3">
      <c r="B7" s="7" t="s">
        <v>8</v>
      </c>
      <c r="C7" s="7" t="s">
        <v>32</v>
      </c>
      <c r="D7" s="17">
        <v>48171</v>
      </c>
      <c r="E7" s="7">
        <v>3</v>
      </c>
      <c r="F7" s="7">
        <f t="shared" si="0"/>
        <v>2408.5500000000002</v>
      </c>
      <c r="I7" s="13"/>
      <c r="J7" s="7" t="s">
        <v>21</v>
      </c>
      <c r="K7" s="8"/>
    </row>
    <row r="8" spans="1:11" x14ac:dyDescent="0.3">
      <c r="B8" s="7" t="s">
        <v>9</v>
      </c>
      <c r="C8" s="7" t="s">
        <v>32</v>
      </c>
      <c r="D8" s="17">
        <v>72634</v>
      </c>
      <c r="E8" s="7">
        <v>6</v>
      </c>
      <c r="F8" s="7">
        <f t="shared" si="0"/>
        <v>7263.4000000000005</v>
      </c>
      <c r="I8" s="13"/>
      <c r="J8" s="7" t="s">
        <v>22</v>
      </c>
      <c r="K8" s="8"/>
    </row>
    <row r="9" spans="1:11" ht="16.2" thickBot="1" x14ac:dyDescent="0.35">
      <c r="B9" s="7" t="s">
        <v>10</v>
      </c>
      <c r="C9" s="7" t="s">
        <v>32</v>
      </c>
      <c r="D9" s="17">
        <v>46362</v>
      </c>
      <c r="E9" s="7">
        <v>3</v>
      </c>
      <c r="F9" s="7">
        <f t="shared" si="0"/>
        <v>2318.1</v>
      </c>
      <c r="I9" s="14">
        <v>3</v>
      </c>
      <c r="J9" s="9" t="s">
        <v>23</v>
      </c>
      <c r="K9" s="10"/>
    </row>
    <row r="10" spans="1:11" x14ac:dyDescent="0.3">
      <c r="B10" s="7" t="s">
        <v>11</v>
      </c>
      <c r="C10" s="7" t="s">
        <v>33</v>
      </c>
      <c r="D10" s="17">
        <v>37362</v>
      </c>
      <c r="E10" s="7">
        <v>1</v>
      </c>
      <c r="F10" s="7">
        <f t="shared" si="0"/>
        <v>0</v>
      </c>
    </row>
    <row r="11" spans="1:11" x14ac:dyDescent="0.3">
      <c r="B11" s="7" t="s">
        <v>12</v>
      </c>
      <c r="C11" s="7" t="s">
        <v>33</v>
      </c>
      <c r="D11" s="17">
        <v>34618</v>
      </c>
      <c r="E11" s="7">
        <v>1</v>
      </c>
      <c r="F11" s="7">
        <f t="shared" si="0"/>
        <v>0</v>
      </c>
    </row>
    <row r="12" spans="1:11" ht="18" x14ac:dyDescent="0.35">
      <c r="B12" s="7" t="s">
        <v>13</v>
      </c>
      <c r="C12" s="7" t="s">
        <v>33</v>
      </c>
      <c r="D12" s="17">
        <v>83746</v>
      </c>
      <c r="E12" s="7">
        <v>6</v>
      </c>
      <c r="F12" s="7">
        <f t="shared" si="0"/>
        <v>8374.6</v>
      </c>
      <c r="J12" s="42" t="s">
        <v>81</v>
      </c>
    </row>
    <row r="13" spans="1:11" x14ac:dyDescent="0.3">
      <c r="B13" s="7" t="s">
        <v>14</v>
      </c>
      <c r="C13" s="7" t="s">
        <v>34</v>
      </c>
      <c r="D13" s="17">
        <v>22846</v>
      </c>
      <c r="E13" s="7">
        <v>1</v>
      </c>
      <c r="F13" s="7">
        <f t="shared" si="0"/>
        <v>0</v>
      </c>
    </row>
    <row r="14" spans="1:11" x14ac:dyDescent="0.3">
      <c r="B14" s="7" t="s">
        <v>15</v>
      </c>
      <c r="C14" s="7" t="s">
        <v>34</v>
      </c>
      <c r="D14" s="17">
        <v>23648</v>
      </c>
      <c r="E14" s="7">
        <v>1</v>
      </c>
      <c r="F14" s="7">
        <f t="shared" si="0"/>
        <v>0</v>
      </c>
    </row>
    <row r="15" spans="1:11" x14ac:dyDescent="0.3">
      <c r="B15" s="7" t="s">
        <v>16</v>
      </c>
      <c r="C15" s="7" t="s">
        <v>34</v>
      </c>
      <c r="D15" s="17">
        <v>38471</v>
      </c>
      <c r="E15" s="7">
        <v>2</v>
      </c>
      <c r="F15" s="7">
        <f t="shared" si="0"/>
        <v>0</v>
      </c>
    </row>
    <row r="16" spans="1:11" x14ac:dyDescent="0.3">
      <c r="B16" s="7" t="s">
        <v>25</v>
      </c>
      <c r="C16" s="7" t="s">
        <v>35</v>
      </c>
      <c r="D16" s="17">
        <v>36829</v>
      </c>
      <c r="E16" s="7">
        <v>2</v>
      </c>
      <c r="F16" s="7">
        <f t="shared" si="0"/>
        <v>0</v>
      </c>
    </row>
    <row r="17" spans="1:26" x14ac:dyDescent="0.3">
      <c r="B17" s="7" t="s">
        <v>26</v>
      </c>
      <c r="C17" s="7" t="s">
        <v>35</v>
      </c>
      <c r="D17" s="17">
        <v>82371</v>
      </c>
      <c r="E17" s="7">
        <v>6</v>
      </c>
      <c r="F17" s="7">
        <f t="shared" si="0"/>
        <v>8237.1</v>
      </c>
    </row>
    <row r="18" spans="1:26" x14ac:dyDescent="0.3">
      <c r="B18" s="7" t="s">
        <v>27</v>
      </c>
      <c r="C18" s="7" t="s">
        <v>35</v>
      </c>
      <c r="D18" s="17">
        <v>27839</v>
      </c>
      <c r="E18" s="7">
        <v>1</v>
      </c>
      <c r="F18" s="7">
        <f t="shared" si="0"/>
        <v>0</v>
      </c>
    </row>
    <row r="19" spans="1:26" x14ac:dyDescent="0.3">
      <c r="B19" s="7" t="s">
        <v>28</v>
      </c>
      <c r="C19" s="7" t="s">
        <v>36</v>
      </c>
      <c r="D19" s="17">
        <v>91737</v>
      </c>
      <c r="E19" s="7">
        <v>9</v>
      </c>
      <c r="F19" s="7">
        <f t="shared" si="0"/>
        <v>9173.7000000000007</v>
      </c>
    </row>
    <row r="20" spans="1:26" x14ac:dyDescent="0.3">
      <c r="B20" s="7" t="s">
        <v>29</v>
      </c>
      <c r="C20" s="7" t="s">
        <v>36</v>
      </c>
      <c r="D20" s="17">
        <v>92748</v>
      </c>
      <c r="E20" s="7">
        <v>9</v>
      </c>
      <c r="F20" s="7">
        <f t="shared" si="0"/>
        <v>9274.8000000000011</v>
      </c>
    </row>
    <row r="21" spans="1:26" x14ac:dyDescent="0.3">
      <c r="B21" s="7" t="s">
        <v>30</v>
      </c>
      <c r="C21" s="7" t="s">
        <v>36</v>
      </c>
      <c r="D21" s="17">
        <v>19793</v>
      </c>
      <c r="E21" s="7">
        <v>1</v>
      </c>
      <c r="F21" s="7">
        <f t="shared" si="0"/>
        <v>0</v>
      </c>
    </row>
    <row r="22" spans="1:26" x14ac:dyDescent="0.3">
      <c r="A22" s="18"/>
      <c r="B22" s="18"/>
      <c r="C22" s="18"/>
      <c r="D22" s="19"/>
      <c r="E22" s="18"/>
      <c r="F22" s="18"/>
      <c r="G22" s="18"/>
      <c r="H22" s="18"/>
      <c r="I22" s="20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02" x14ac:dyDescent="0.3">
      <c r="A23" s="26" t="s">
        <v>42</v>
      </c>
      <c r="B23" s="31" t="s">
        <v>44</v>
      </c>
      <c r="C23" s="31" t="s">
        <v>45</v>
      </c>
      <c r="D23" s="32" t="s">
        <v>46</v>
      </c>
      <c r="E23" s="31" t="s">
        <v>47</v>
      </c>
    </row>
    <row r="24" spans="1:26" ht="16.2" thickBot="1" x14ac:dyDescent="0.35">
      <c r="B24" s="35" t="s">
        <v>37</v>
      </c>
      <c r="C24" s="35" t="s">
        <v>38</v>
      </c>
      <c r="D24" s="36" t="s">
        <v>39</v>
      </c>
      <c r="E24" s="35" t="s">
        <v>40</v>
      </c>
    </row>
    <row r="25" spans="1:26" x14ac:dyDescent="0.3">
      <c r="B25" s="33" t="s">
        <v>48</v>
      </c>
      <c r="C25" s="33">
        <v>28</v>
      </c>
      <c r="D25" s="34" t="s">
        <v>60</v>
      </c>
      <c r="E25" s="33" t="str">
        <f>IF(AND(C25&gt;=75,D25&gt;=80),"Distinction",IF(AND(C25&gt;=50,D25&gt;=60),"Pass",IF(AND(C25&gt;=50,D25&lt;60),"Low Attendence","Fail")))</f>
        <v>Fail</v>
      </c>
    </row>
    <row r="26" spans="1:26" ht="21" x14ac:dyDescent="0.4">
      <c r="B26" s="35" t="s">
        <v>49</v>
      </c>
      <c r="C26" s="35">
        <v>93</v>
      </c>
      <c r="D26" s="36" t="s">
        <v>61</v>
      </c>
      <c r="E26" s="35" t="str">
        <f t="shared" ref="E26:F36" si="1">IF(AND(C26&gt;=75,D26&gt;=80),"Distinction",IF(AND(C26&gt;=50,D26&gt;=60),"Pass",IF(AND(C26&gt;=50,D26&lt;60),"Low Attendence","Fail")))</f>
        <v>Distinction</v>
      </c>
      <c r="J26" t="s">
        <v>78</v>
      </c>
    </row>
    <row r="27" spans="1:26" x14ac:dyDescent="0.3">
      <c r="B27" s="35" t="s">
        <v>50</v>
      </c>
      <c r="C27" s="35">
        <v>17</v>
      </c>
      <c r="D27" s="37">
        <v>92</v>
      </c>
      <c r="E27" s="35" t="str">
        <f t="shared" si="1"/>
        <v>Fail</v>
      </c>
    </row>
    <row r="28" spans="1:26" x14ac:dyDescent="0.3">
      <c r="B28" s="35" t="s">
        <v>51</v>
      </c>
      <c r="C28" s="35">
        <v>73</v>
      </c>
      <c r="D28" s="37">
        <v>92</v>
      </c>
      <c r="E28" s="35" t="str">
        <f t="shared" si="1"/>
        <v>Pass</v>
      </c>
    </row>
    <row r="29" spans="1:26" x14ac:dyDescent="0.3">
      <c r="B29" s="35" t="s">
        <v>52</v>
      </c>
      <c r="C29" s="35">
        <v>72</v>
      </c>
      <c r="D29" s="37">
        <v>92</v>
      </c>
      <c r="E29" s="35" t="str">
        <f t="shared" si="1"/>
        <v>Pass</v>
      </c>
    </row>
    <row r="30" spans="1:26" x14ac:dyDescent="0.3">
      <c r="B30" s="35" t="s">
        <v>53</v>
      </c>
      <c r="C30" s="35">
        <v>84</v>
      </c>
      <c r="D30" s="37">
        <v>92</v>
      </c>
      <c r="E30" s="35" t="str">
        <f t="shared" si="1"/>
        <v>Distinction</v>
      </c>
    </row>
    <row r="31" spans="1:26" x14ac:dyDescent="0.3">
      <c r="B31" s="35" t="s">
        <v>54</v>
      </c>
      <c r="C31" s="35">
        <v>82</v>
      </c>
      <c r="D31" s="37">
        <v>92</v>
      </c>
      <c r="E31" s="35" t="str">
        <f t="shared" si="1"/>
        <v>Distinction</v>
      </c>
    </row>
    <row r="32" spans="1:26" x14ac:dyDescent="0.3">
      <c r="B32" s="35" t="s">
        <v>55</v>
      </c>
      <c r="C32" s="35">
        <v>74</v>
      </c>
      <c r="D32" s="37">
        <v>92</v>
      </c>
      <c r="E32" s="35" t="str">
        <f t="shared" si="1"/>
        <v>Pass</v>
      </c>
    </row>
    <row r="33" spans="1:26" x14ac:dyDescent="0.3">
      <c r="B33" s="35" t="s">
        <v>56</v>
      </c>
      <c r="C33" s="35">
        <v>69</v>
      </c>
      <c r="D33" s="37">
        <v>92</v>
      </c>
      <c r="E33" s="35" t="str">
        <f t="shared" si="1"/>
        <v>Pass</v>
      </c>
    </row>
    <row r="34" spans="1:26" x14ac:dyDescent="0.3">
      <c r="B34" s="35" t="s">
        <v>57</v>
      </c>
      <c r="C34" s="35">
        <v>66</v>
      </c>
      <c r="D34" s="37">
        <v>92</v>
      </c>
      <c r="E34" s="35" t="str">
        <f t="shared" si="1"/>
        <v>Pass</v>
      </c>
    </row>
    <row r="35" spans="1:26" x14ac:dyDescent="0.3">
      <c r="B35" s="35" t="s">
        <v>58</v>
      </c>
      <c r="C35" s="35">
        <v>91</v>
      </c>
      <c r="D35" s="37">
        <v>92</v>
      </c>
      <c r="E35" s="35" t="str">
        <f t="shared" si="1"/>
        <v>Distinction</v>
      </c>
    </row>
    <row r="36" spans="1:26" x14ac:dyDescent="0.3">
      <c r="B36" s="35" t="s">
        <v>59</v>
      </c>
      <c r="C36" s="35">
        <v>93</v>
      </c>
      <c r="D36" s="37">
        <v>92</v>
      </c>
      <c r="E36" s="35" t="str">
        <f t="shared" si="1"/>
        <v>Distinction</v>
      </c>
    </row>
    <row r="38" spans="1:26" x14ac:dyDescent="0.3">
      <c r="A38" s="18"/>
      <c r="B38" s="18"/>
      <c r="C38" s="18"/>
      <c r="D38" s="19"/>
      <c r="E38" s="18"/>
      <c r="F38" s="18"/>
      <c r="G38" s="18"/>
      <c r="H38" s="18"/>
      <c r="I38" s="20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86.4" x14ac:dyDescent="0.3">
      <c r="A39" s="38" t="s">
        <v>62</v>
      </c>
      <c r="B39" s="39" t="s">
        <v>63</v>
      </c>
      <c r="C39" s="40" t="s">
        <v>64</v>
      </c>
    </row>
    <row r="40" spans="1:26" ht="16.2" thickBot="1" x14ac:dyDescent="0.35">
      <c r="B40" s="35" t="s">
        <v>37</v>
      </c>
      <c r="C40" s="7" t="s">
        <v>38</v>
      </c>
    </row>
    <row r="41" spans="1:26" ht="21" x14ac:dyDescent="0.4">
      <c r="B41" s="33">
        <v>110</v>
      </c>
      <c r="C41" s="17">
        <f>IF(B41&lt;=100,B42
     B41*5,
     IF(B41&lt;=200,
        100*5 + (B41-100)*7,
        100*5 + 100*7 + (B41-200)*10
     )
)</f>
        <v>570</v>
      </c>
      <c r="J41" t="s">
        <v>79</v>
      </c>
    </row>
    <row r="42" spans="1:26" x14ac:dyDescent="0.3">
      <c r="B42" s="35">
        <v>120</v>
      </c>
      <c r="C42" s="17">
        <f>IF(B42&lt;=100,B43
     B42*5,
     IF(B42&lt;=200,
        100*5 + (B42-100)*7,
        100*5 + 100*7 + (B42-200)*10
     )
)</f>
        <v>640</v>
      </c>
    </row>
    <row r="43" spans="1:26" x14ac:dyDescent="0.3">
      <c r="B43" s="35">
        <v>330</v>
      </c>
      <c r="C43" s="17">
        <f>IF(B43&lt;=100,B44
     B43*5,
     IF(B43&lt;=200,
        100*5 + (B43-100)*7,
        100*5 + 100*7 + (B43-200)*10
     )
)</f>
        <v>2500</v>
      </c>
    </row>
    <row r="44" spans="1:26" x14ac:dyDescent="0.3">
      <c r="B44" s="35">
        <v>392</v>
      </c>
      <c r="C44" s="17">
        <f>IF(B44&lt;=100,B45
     B44*5,
     IF(B44&lt;=200,
        100*5 + (B44-100)*7,
        100*5 + 100*7 + (B44-200)*10
     )
)</f>
        <v>3120</v>
      </c>
    </row>
    <row r="45" spans="1:26" x14ac:dyDescent="0.3">
      <c r="B45" s="35">
        <v>193</v>
      </c>
      <c r="C45" s="17">
        <f>IF(B45&lt;=100,B46
     B45*5,
     IF(B45&lt;=200,
        100*5 + (B45-100)*7,
        100*5 + 100*7 + (B45-200)*10
     )
)</f>
        <v>1151</v>
      </c>
    </row>
    <row r="46" spans="1:26" x14ac:dyDescent="0.3">
      <c r="B46" s="35">
        <v>193</v>
      </c>
      <c r="C46" s="17">
        <f>IF(B46&lt;=100,B47
     B46*5,
     IF(B46&lt;=200,
        100*5 + (B46-100)*7,
        100*5 + 100*7 + (B46-200)*10
     )
)</f>
        <v>1151</v>
      </c>
    </row>
    <row r="47" spans="1:26" x14ac:dyDescent="0.3">
      <c r="B47" s="35">
        <v>127</v>
      </c>
      <c r="C47" s="17">
        <f>IF(B47&lt;=100,B48
     B47*5,
     IF(B47&lt;=200,
        100*5 + (B47-100)*7,
        100*5 + 100*7 + (B47-200)*10
     )
)</f>
        <v>689</v>
      </c>
    </row>
    <row r="48" spans="1:26" x14ac:dyDescent="0.3">
      <c r="B48" s="35">
        <v>128</v>
      </c>
      <c r="C48" s="17">
        <f>IF(B48&lt;=100,B49
     B48*5,
     IF(B48&lt;=200,
        100*5 + (B48-100)*7,
        100*5 + 100*7 + (B48-200)*10
     )
)</f>
        <v>696</v>
      </c>
    </row>
    <row r="49" spans="1:26" x14ac:dyDescent="0.3">
      <c r="B49" s="35">
        <v>837</v>
      </c>
      <c r="C49" s="17">
        <f>IF(B49&lt;=100,B50
     B49*5,
     IF(B49&lt;=200,
        100*5 + (B49-100)*7,
        100*5 + 100*7 + (B49-200)*10
     )
)</f>
        <v>7570</v>
      </c>
    </row>
    <row r="50" spans="1:26" x14ac:dyDescent="0.3">
      <c r="B50" s="35">
        <v>268</v>
      </c>
      <c r="C50" s="17">
        <f>IF(B50&lt;=100,B51
     B50*5,
     IF(B50&lt;=200,
        100*5 + (B50-100)*7,
        100*5 + 100*7 + (B50-200)*10
     )
)</f>
        <v>1880</v>
      </c>
    </row>
    <row r="51" spans="1:26" x14ac:dyDescent="0.3">
      <c r="B51" s="35">
        <v>182</v>
      </c>
      <c r="C51" s="17">
        <f>IF(B51&lt;=100,B52
     B51*5,
     IF(B51&lt;=200,
        100*5 + (B51-100)*7,
        100*5 + 100*7 + (B51-200)*10
     )
)</f>
        <v>1074</v>
      </c>
    </row>
    <row r="52" spans="1:26" x14ac:dyDescent="0.3">
      <c r="B52" s="35">
        <v>937</v>
      </c>
      <c r="C52" s="17">
        <f>IF(B52&lt;=100,B53
     B52*5,
     IF(B52&lt;=200,
        100*5 + (B52-100)*7,
        100*5 + 100*7 + (B52-200)*10
     )
)</f>
        <v>8570</v>
      </c>
    </row>
    <row r="53" spans="1:26" x14ac:dyDescent="0.3">
      <c r="B53" s="35">
        <v>625</v>
      </c>
      <c r="C53" s="17">
        <f>IF(B53&lt;=100,B54
     B53*5,
     IF(B53&lt;=200,
        100*5 + (B53-100)*7,
        100*5 + 100*7 + (B53-200)*10
     )
)</f>
        <v>5450</v>
      </c>
    </row>
    <row r="54" spans="1:26" x14ac:dyDescent="0.3">
      <c r="B54" s="35">
        <v>673</v>
      </c>
      <c r="C54" s="17">
        <f>IF(B54&lt;=100,B55
     B54*5,
     IF(B54&lt;=200,
        100*5 + (B54-100)*7,
        100*5 + 100*7 + (B54-200)*10
     )
)</f>
        <v>5930</v>
      </c>
    </row>
    <row r="56" spans="1:26" ht="16.2" thickBot="1" x14ac:dyDescent="0.35">
      <c r="A56" s="18"/>
      <c r="B56" s="18"/>
      <c r="C56" s="18"/>
      <c r="D56" s="19"/>
      <c r="E56" s="18"/>
      <c r="F56" s="18"/>
      <c r="G56" s="18"/>
      <c r="H56" s="18"/>
      <c r="I56" s="20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05" thickBot="1" x14ac:dyDescent="0.35">
      <c r="A57" s="38" t="s">
        <v>65</v>
      </c>
      <c r="B57" s="45" t="s">
        <v>66</v>
      </c>
      <c r="C57" s="46" t="s">
        <v>67</v>
      </c>
      <c r="D57" s="47" t="s">
        <v>76</v>
      </c>
    </row>
    <row r="58" spans="1:26" ht="16.2" thickBot="1" x14ac:dyDescent="0.35">
      <c r="B58" s="7" t="s">
        <v>37</v>
      </c>
      <c r="C58" s="44" t="s">
        <v>38</v>
      </c>
      <c r="D58" s="17" t="s">
        <v>39</v>
      </c>
    </row>
    <row r="59" spans="1:26" x14ac:dyDescent="0.3">
      <c r="B59" s="5" t="s">
        <v>68</v>
      </c>
      <c r="C59" s="43">
        <v>1982731</v>
      </c>
      <c r="D59" s="48">
        <f>_xlfn.IFS(C59&gt;=100000,C59*12%,C59&gt;=50000,C59*8%,C59&gt;=20000,C59*5%,C59&lt;20000,C59*2%)</f>
        <v>237927.72</v>
      </c>
    </row>
    <row r="60" spans="1:26" x14ac:dyDescent="0.3">
      <c r="B60" s="7" t="s">
        <v>69</v>
      </c>
      <c r="C60" s="44">
        <v>278321</v>
      </c>
      <c r="D60" s="17">
        <f t="shared" ref="D60:D66" si="2">_xlfn.IFS(C60&gt;=100000,C60*12%,C60&gt;=50000,C60*8%,C60&gt;=20000,C60*5%,C60&lt;20000,C60*2%)</f>
        <v>33398.519999999997</v>
      </c>
    </row>
    <row r="61" spans="1:26" x14ac:dyDescent="0.3">
      <c r="B61" s="7" t="s">
        <v>70</v>
      </c>
      <c r="C61" s="44">
        <v>34274</v>
      </c>
      <c r="D61" s="17">
        <f t="shared" si="2"/>
        <v>1713.7</v>
      </c>
    </row>
    <row r="62" spans="1:26" ht="21" x14ac:dyDescent="0.4">
      <c r="B62" s="7" t="s">
        <v>71</v>
      </c>
      <c r="C62" s="44">
        <v>224842</v>
      </c>
      <c r="D62" s="17">
        <f t="shared" si="2"/>
        <v>26981.039999999997</v>
      </c>
      <c r="J62" t="s">
        <v>80</v>
      </c>
    </row>
    <row r="63" spans="1:26" x14ac:dyDescent="0.3">
      <c r="B63" s="7" t="s">
        <v>72</v>
      </c>
      <c r="C63" s="44">
        <v>8327412</v>
      </c>
      <c r="D63" s="17">
        <f t="shared" si="2"/>
        <v>999289.44</v>
      </c>
    </row>
    <row r="64" spans="1:26" x14ac:dyDescent="0.3">
      <c r="B64" s="7" t="s">
        <v>73</v>
      </c>
      <c r="C64" s="44">
        <v>1283126</v>
      </c>
      <c r="D64" s="17">
        <f t="shared" si="2"/>
        <v>153975.12</v>
      </c>
    </row>
    <row r="65" spans="1:26" x14ac:dyDescent="0.3">
      <c r="B65" s="7" t="s">
        <v>74</v>
      </c>
      <c r="C65" s="44">
        <v>32187</v>
      </c>
      <c r="D65" s="17">
        <f t="shared" si="2"/>
        <v>1609.3500000000001</v>
      </c>
    </row>
    <row r="66" spans="1:26" x14ac:dyDescent="0.3">
      <c r="B66" s="7" t="s">
        <v>75</v>
      </c>
      <c r="C66" s="44">
        <v>112733</v>
      </c>
      <c r="D66" s="17">
        <f t="shared" si="2"/>
        <v>13527.96</v>
      </c>
    </row>
    <row r="67" spans="1:26" ht="16.2" thickBot="1" x14ac:dyDescent="0.35">
      <c r="A67" s="18"/>
      <c r="B67" s="18"/>
      <c r="C67" s="18"/>
      <c r="D67" s="19"/>
      <c r="E67" s="18"/>
      <c r="F67" s="18"/>
      <c r="G67" s="18"/>
      <c r="H67" s="18"/>
      <c r="I67" s="20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90" x14ac:dyDescent="0.3">
      <c r="A68" s="38" t="s">
        <v>82</v>
      </c>
      <c r="B68" s="52" t="s">
        <v>46</v>
      </c>
      <c r="C68" s="50" t="s">
        <v>47</v>
      </c>
      <c r="D68" s="41"/>
    </row>
    <row r="69" spans="1:26" x14ac:dyDescent="0.3">
      <c r="B69" t="s">
        <v>37</v>
      </c>
      <c r="C69" s="51" t="str">
        <f>IF(COUNTIF(B70:B99,"P")&gt;=26,"Excellent",IF(COUNTIF(B70:B99,"P")&gt;=20,"Good","Poor"))</f>
        <v>Good</v>
      </c>
    </row>
    <row r="70" spans="1:26" x14ac:dyDescent="0.3">
      <c r="B70" t="s">
        <v>83</v>
      </c>
    </row>
    <row r="71" spans="1:26" x14ac:dyDescent="0.3">
      <c r="B71" t="s">
        <v>84</v>
      </c>
    </row>
    <row r="72" spans="1:26" x14ac:dyDescent="0.3">
      <c r="B72" t="s">
        <v>83</v>
      </c>
    </row>
    <row r="73" spans="1:26" x14ac:dyDescent="0.3">
      <c r="B73" t="s">
        <v>84</v>
      </c>
    </row>
    <row r="74" spans="1:26" ht="18" x14ac:dyDescent="0.35">
      <c r="B74" t="s">
        <v>83</v>
      </c>
      <c r="J74" s="42" t="s">
        <v>87</v>
      </c>
    </row>
    <row r="75" spans="1:26" x14ac:dyDescent="0.3">
      <c r="B75" t="s">
        <v>83</v>
      </c>
    </row>
    <row r="76" spans="1:26" x14ac:dyDescent="0.3">
      <c r="B76" t="s">
        <v>83</v>
      </c>
    </row>
    <row r="77" spans="1:26" x14ac:dyDescent="0.3">
      <c r="B77" t="s">
        <v>83</v>
      </c>
    </row>
    <row r="78" spans="1:26" x14ac:dyDescent="0.3">
      <c r="B78" t="s">
        <v>83</v>
      </c>
    </row>
    <row r="79" spans="1:26" x14ac:dyDescent="0.3">
      <c r="B79" t="s">
        <v>83</v>
      </c>
    </row>
    <row r="80" spans="1:26" x14ac:dyDescent="0.3">
      <c r="B80" t="s">
        <v>83</v>
      </c>
    </row>
    <row r="81" spans="2:2" x14ac:dyDescent="0.3">
      <c r="B81" t="s">
        <v>84</v>
      </c>
    </row>
    <row r="82" spans="2:2" x14ac:dyDescent="0.3">
      <c r="B82" t="s">
        <v>83</v>
      </c>
    </row>
    <row r="83" spans="2:2" x14ac:dyDescent="0.3">
      <c r="B83" t="s">
        <v>84</v>
      </c>
    </row>
    <row r="84" spans="2:2" x14ac:dyDescent="0.3">
      <c r="B84" t="s">
        <v>83</v>
      </c>
    </row>
    <row r="85" spans="2:2" x14ac:dyDescent="0.3">
      <c r="B85" t="s">
        <v>84</v>
      </c>
    </row>
    <row r="86" spans="2:2" x14ac:dyDescent="0.3">
      <c r="B86" t="s">
        <v>83</v>
      </c>
    </row>
    <row r="87" spans="2:2" x14ac:dyDescent="0.3">
      <c r="B87" t="s">
        <v>84</v>
      </c>
    </row>
    <row r="88" spans="2:2" x14ac:dyDescent="0.3">
      <c r="B88" t="s">
        <v>83</v>
      </c>
    </row>
    <row r="89" spans="2:2" x14ac:dyDescent="0.3">
      <c r="B89" t="s">
        <v>83</v>
      </c>
    </row>
    <row r="90" spans="2:2" x14ac:dyDescent="0.3">
      <c r="B90" t="s">
        <v>83</v>
      </c>
    </row>
    <row r="91" spans="2:2" x14ac:dyDescent="0.3">
      <c r="B91" t="s">
        <v>84</v>
      </c>
    </row>
    <row r="92" spans="2:2" x14ac:dyDescent="0.3">
      <c r="B92" t="s">
        <v>84</v>
      </c>
    </row>
    <row r="93" spans="2:2" x14ac:dyDescent="0.3">
      <c r="B93" t="s">
        <v>84</v>
      </c>
    </row>
    <row r="94" spans="2:2" x14ac:dyDescent="0.3">
      <c r="B94" t="s">
        <v>84</v>
      </c>
    </row>
    <row r="95" spans="2:2" x14ac:dyDescent="0.3">
      <c r="B95" t="s">
        <v>83</v>
      </c>
    </row>
    <row r="96" spans="2:2" x14ac:dyDescent="0.3">
      <c r="B96" t="s">
        <v>83</v>
      </c>
    </row>
    <row r="97" spans="1:26" x14ac:dyDescent="0.3">
      <c r="B97" t="s">
        <v>83</v>
      </c>
    </row>
    <row r="98" spans="1:26" x14ac:dyDescent="0.3">
      <c r="B98" t="s">
        <v>83</v>
      </c>
      <c r="D98" s="49"/>
    </row>
    <row r="99" spans="1:26" x14ac:dyDescent="0.3">
      <c r="B99" t="s">
        <v>83</v>
      </c>
      <c r="C99">
        <f>COUNTIF($B$70:$B$99,"P")</f>
        <v>20</v>
      </c>
    </row>
    <row r="100" spans="1:26" ht="18" x14ac:dyDescent="0.35">
      <c r="B100" s="42" t="s">
        <v>85</v>
      </c>
      <c r="C100">
        <f>COUNTIF($B$70:$B$99,"A")</f>
        <v>10</v>
      </c>
    </row>
    <row r="101" spans="1:26" ht="18" x14ac:dyDescent="0.35">
      <c r="B101" s="42" t="s">
        <v>86</v>
      </c>
    </row>
    <row r="102" spans="1:26" ht="14.4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</sheetData>
  <phoneticPr fontId="6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Mishra</dc:creator>
  <cp:lastModifiedBy>Chandrakant Mishra</cp:lastModifiedBy>
  <dcterms:created xsi:type="dcterms:W3CDTF">2026-06-18T07:28:04Z</dcterms:created>
  <dcterms:modified xsi:type="dcterms:W3CDTF">2026-06-18T11:25:28Z</dcterms:modified>
</cp:coreProperties>
</file>